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gama\OneDrive\Dokumenty\Projects\Hurtownie_KM3\taxi_weather_analysis\docs\"/>
    </mc:Choice>
  </mc:AlternateContent>
  <xr:revisionPtr revIDLastSave="0" documentId="13_ncr:1_{517EE61F-7A48-4A36-9BB4-DF0A090DADE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ource Systems" sheetId="1" r:id="rId1"/>
    <sheet name="STTM" sheetId="2" r:id="rId2"/>
  </sheets>
  <definedNames>
    <definedName name="_xlnm._FilterDatabase" localSheetId="1" hidden="1">STTM!$A$4:$I$45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" l="1"/>
</calcChain>
</file>

<file path=xl/sharedStrings.xml><?xml version="1.0" encoding="utf-8"?>
<sst xmlns="http://schemas.openxmlformats.org/spreadsheetml/2006/main" count="377" uniqueCount="184">
  <si>
    <t>Source-to-Target Mapping (STTM) — NYC Weather vs Taxi Trips DWH</t>
  </si>
  <si>
    <t>#</t>
  </si>
  <si>
    <t>Source System</t>
  </si>
  <si>
    <t>Format</t>
  </si>
  <si>
    <t>Access / Endpoint</t>
  </si>
  <si>
    <t>Refresh frequency</t>
  </si>
  <si>
    <t>Staging target</t>
  </si>
  <si>
    <t>DWH target</t>
  </si>
  <si>
    <t>NYC TLC Yellow Taxi Trip Records</t>
  </si>
  <si>
    <t>Parquet</t>
  </si>
  <si>
    <t>https://d37ci6vzurychx.cloudfront.net/trip-data/yellow_tripdata_{YYYY}-{MM}.parquet</t>
  </si>
  <si>
    <t>Monthly (per month file)</t>
  </si>
  <si>
    <t>staging.fact_trip</t>
  </si>
  <si>
    <t>dwh.fact_trip</t>
  </si>
  <si>
    <t>NYC TLC Taxi Zone Lookup</t>
  </si>
  <si>
    <t>CSV</t>
  </si>
  <si>
    <t>https://d37ci6vzurychx.cloudfront.net/misc/taxi_zone_lookup.csv</t>
  </si>
  <si>
    <t>Static reference (full refresh each load)</t>
  </si>
  <si>
    <t>staging.zone_lookup</t>
  </si>
  <si>
    <t>dwh.dim_location (SCD2)</t>
  </si>
  <si>
    <t>Open-Meteo Historical Forecast API</t>
  </si>
  <si>
    <t>JSON (15-minute obs.)</t>
  </si>
  <si>
    <t>https://historical-forecast-api.open-meteo.com/v1/forecast  (NYC lat 40.7128, lon -74.0060)</t>
  </si>
  <si>
    <t>Monthly batch (per month range)</t>
  </si>
  <si>
    <t>staging.fact_weather</t>
  </si>
  <si>
    <t>dwh.fact_weather</t>
  </si>
  <si>
    <t>Generated / Derived</t>
  </si>
  <si>
    <t>—</t>
  </si>
  <si>
    <t>Python `holidays` (US/NY) + SQL generate_series (schema.sql seeds)</t>
  </si>
  <si>
    <t>At load (dim_date) / static seed (dim_time, dim_weather_type)</t>
  </si>
  <si>
    <t>dwh.dim_date, dwh.dim_time, dwh.dim_weather_type</t>
  </si>
  <si>
    <t>Column-level Source-to-Target Mapping</t>
  </si>
  <si>
    <t>Target table</t>
  </si>
  <si>
    <t>Target column</t>
  </si>
  <si>
    <t>Data type</t>
  </si>
  <si>
    <t>Null</t>
  </si>
  <si>
    <t>Key</t>
  </si>
  <si>
    <t>Source object</t>
  </si>
  <si>
    <t>Source column</t>
  </si>
  <si>
    <t>Transformation rule</t>
  </si>
  <si>
    <t>Notes</t>
  </si>
  <si>
    <t>dwh.dim_date</t>
  </si>
  <si>
    <t>date_key</t>
  </si>
  <si>
    <t>BIGINT</t>
  </si>
  <si>
    <t>NOT NULL</t>
  </si>
  <si>
    <t>PK</t>
  </si>
  <si>
    <t>Derived (load period)</t>
  </si>
  <si>
    <t>full_date</t>
  </si>
  <si>
    <t>year*10000 + month*100 + day</t>
  </si>
  <si>
    <t>Surrogate smart key YYYYMMDD</t>
  </si>
  <si>
    <t>DATE</t>
  </si>
  <si>
    <t>Derived</t>
  </si>
  <si>
    <t>(date range)</t>
  </si>
  <si>
    <t>One row per day in [start,end] of load</t>
  </si>
  <si>
    <t>Driver of the dimension</t>
  </si>
  <si>
    <t>year</t>
  </si>
  <si>
    <t>INTEGER</t>
  </si>
  <si>
    <t>EXTRACT(year)</t>
  </si>
  <si>
    <t>month</t>
  </si>
  <si>
    <t>EXTRACT(month)</t>
  </si>
  <si>
    <t>day</t>
  </si>
  <si>
    <t>EXTRACT(day)</t>
  </si>
  <si>
    <t>holiday_flag</t>
  </si>
  <si>
    <t>BOOLEAN</t>
  </si>
  <si>
    <t>Python holidays (US, subdiv NY)</t>
  </si>
  <si>
    <t>TRUE if date in US-NY holiday calendar</t>
  </si>
  <si>
    <t>Library: holidays</t>
  </si>
  <si>
    <t>holiday_name</t>
  </si>
  <si>
    <t>VARCHAR(100)</t>
  </si>
  <si>
    <t>NULL</t>
  </si>
  <si>
    <t>Holiday name, else NULL</t>
  </si>
  <si>
    <t>dwh.dim_time</t>
  </si>
  <si>
    <t>time_key</t>
  </si>
  <si>
    <t>Static seed (schema.sql)</t>
  </si>
  <si>
    <t>generate_series h0-23, m0-59</t>
  </si>
  <si>
    <t>h*10000 + m*100</t>
  </si>
  <si>
    <t>Minute grain, SS=00</t>
  </si>
  <si>
    <t>hour</t>
  </si>
  <si>
    <t>Static seed</t>
  </si>
  <si>
    <t>series h</t>
  </si>
  <si>
    <t>Hour 0-23</t>
  </si>
  <si>
    <t>minute</t>
  </si>
  <si>
    <t>SMALLINT</t>
  </si>
  <si>
    <t>series m</t>
  </si>
  <si>
    <t>Minute 0-59</t>
  </si>
  <si>
    <t>time_of_day</t>
  </si>
  <si>
    <t>VARCHAR(20)</t>
  </si>
  <si>
    <t>CASE: 0-5 Night / 6-11 Morning / 12-17 Afternoon / 18-23 Evening</t>
  </si>
  <si>
    <t>dwh.dim_location</t>
  </si>
  <si>
    <t>location_sk</t>
  </si>
  <si>
    <t>PK (surrogate)</t>
  </si>
  <si>
    <t>Generated</t>
  </si>
  <si>
    <t>IDENTITY (auto), one value per version</t>
  </si>
  <si>
    <t>SCD2 per-version identity</t>
  </si>
  <si>
    <t>location_id</t>
  </si>
  <si>
    <t>Business key</t>
  </si>
  <si>
    <t>location_id  (CSV LocationID)</t>
  </si>
  <si>
    <t>Direct</t>
  </si>
  <si>
    <t>Stable natural key across versions</t>
  </si>
  <si>
    <t>borough</t>
  </si>
  <si>
    <t>VARCHAR(60)</t>
  </si>
  <si>
    <t>borough  (CSV Borough)</t>
  </si>
  <si>
    <t>COALESCE(borough,'Unknown')</t>
  </si>
  <si>
    <t>SCD2-tracked attribute</t>
  </si>
  <si>
    <t>zone</t>
  </si>
  <si>
    <t>zone  (CSV Zone)</t>
  </si>
  <si>
    <t>COALESCE(zone,'Unknown')</t>
  </si>
  <si>
    <t>service_zone</t>
  </si>
  <si>
    <t>service_zone  (CSV service_zone)</t>
  </si>
  <si>
    <t>COALESCE(service_zone,'Unknown'); may be overridden by scd_simulation</t>
  </si>
  <si>
    <t>Primary SCD2-tracked attribute</t>
  </si>
  <si>
    <t>valid_from</t>
  </si>
  <si>
    <t>SCD2</t>
  </si>
  <si>
    <t>1900-01-01 for v1; load period start for new versions</t>
  </si>
  <si>
    <t>Effective start of version</t>
  </si>
  <si>
    <t>valid_to</t>
  </si>
  <si>
    <t>9999-12-31 while current; effective_date-1 day when superseded</t>
  </si>
  <si>
    <t>Effective end of version</t>
  </si>
  <si>
    <t>is_current</t>
  </si>
  <si>
    <t>TRUE for live version; FALSE when superseded</t>
  </si>
  <si>
    <t>Exactly one TRUE per location_id</t>
  </si>
  <si>
    <t>version</t>
  </si>
  <si>
    <t>1 for first version; +1 on each tracked change</t>
  </si>
  <si>
    <t>dwh.dim_weather_type</t>
  </si>
  <si>
    <t>weather_type_key</t>
  </si>
  <si>
    <t>WMO weathercode</t>
  </si>
  <si>
    <t>Open-Meteo weathercode domain</t>
  </si>
  <si>
    <t>condition_name</t>
  </si>
  <si>
    <t>Mapped category (Clear, Rain, Snow, ...)</t>
  </si>
  <si>
    <t>description</t>
  </si>
  <si>
    <t>VARCHAR(200)</t>
  </si>
  <si>
    <t>Human-readable description</t>
  </si>
  <si>
    <t>FK -&gt; dim_date</t>
  </si>
  <si>
    <t>tpep_pickup_datetime</t>
  </si>
  <si>
    <t>date_format(pickup,'yyyyMMdd')::int</t>
  </si>
  <si>
    <t>FK -&gt; dim_time</t>
  </si>
  <si>
    <t>hour(pickup)*10000 + minute(pickup)*100</t>
  </si>
  <si>
    <t>pu_location_key</t>
  </si>
  <si>
    <t>Logical -&gt; dim_location.location_id (is_current)</t>
  </si>
  <si>
    <t>pu_location_id  (Parquet PULocationID)</t>
  </si>
  <si>
    <t>Keep if in known location_ids, else NULL</t>
  </si>
  <si>
    <t>No DB FK (SCD2); RI via quality checks</t>
  </si>
  <si>
    <t>do_location_key</t>
  </si>
  <si>
    <t>do_location_id  (Parquet DOLocationID)</t>
  </si>
  <si>
    <t>trip_distance</t>
  </si>
  <si>
    <t>NUMERIC(8,2)</t>
  </si>
  <si>
    <t>Measure</t>
  </si>
  <si>
    <t>Cleaned: trip_distance &gt; 0</t>
  </si>
  <si>
    <t>fare_amount</t>
  </si>
  <si>
    <t>NUMERIC(19,4)</t>
  </si>
  <si>
    <t>tip_amount</t>
  </si>
  <si>
    <t>total_amount</t>
  </si>
  <si>
    <t>Cleaned: total_amount &gt; 0</t>
  </si>
  <si>
    <t>trip_duration_sec</t>
  </si>
  <si>
    <t>tpep_dropoff_datetime, tpep_pickup_datetime</t>
  </si>
  <si>
    <t>unix(dropoff) - unix(pickup)</t>
  </si>
  <si>
    <t>Filtered to &gt; 0</t>
  </si>
  <si>
    <t>passenger_count</t>
  </si>
  <si>
    <t>CAST as int</t>
  </si>
  <si>
    <t>Cleaned: passenger_count &gt; 0</t>
  </si>
  <si>
    <t>loaded_at</t>
  </si>
  <si>
    <t>TIMESTAMP</t>
  </si>
  <si>
    <t>NULL (def NOW)</t>
  </si>
  <si>
    <t>Audit</t>
  </si>
  <si>
    <t>System</t>
  </si>
  <si>
    <t>NOW() on insert</t>
  </si>
  <si>
    <t>time</t>
  </si>
  <si>
    <t>date_format(date_trunc('hour',time),'yyyyMMdd')::int</t>
  </si>
  <si>
    <t>Aggregated to hour</t>
  </si>
  <si>
    <t>hour(date_trunc('hour',time))*10000</t>
  </si>
  <si>
    <t>Hourly grain (MMSS=0000)</t>
  </si>
  <si>
    <t>FK -&gt; dim_weather_type</t>
  </si>
  <si>
    <t>weathercode</t>
  </si>
  <si>
    <t>Dominant code per hour: max observation count, ties -&gt; lower code</t>
  </si>
  <si>
    <t>Deterministic tie-break</t>
  </si>
  <si>
    <t>temperature</t>
  </si>
  <si>
    <t>NUMERIC(5,2)</t>
  </si>
  <si>
    <t>temperature_2m</t>
  </si>
  <si>
    <t>AVG per hour</t>
  </si>
  <si>
    <t>precipitation</t>
  </si>
  <si>
    <t>NUMERIC(6,2)</t>
  </si>
  <si>
    <t>SUM per hour</t>
  </si>
  <si>
    <t>wind_speed</t>
  </si>
  <si>
    <t>windspeed_10m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</si>
</sst>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pane ySplit="4" topLeftCell="A5" activePane="bottomLeft" state="frozen"/>
      <selection pane="bottomLeft" activeCell="A2" sqref="A2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4" width="60" customWidth="1"/>
    <col min="5" max="5" width="34" customWidth="1"/>
    <col min="6" max="6" width="20" customWidth="1"/>
    <col min="7" max="7" width="30" customWidth="1"/>
  </cols>
  <sheetData>
    <row r="1" spans="1:7" ht="18" x14ac:dyDescent="0.4">
      <c r="A1" s="1" t="s">
        <v>0</v>
      </c>
    </row>
    <row r="2" spans="1:7" x14ac:dyDescent="0.35">
      <c r="A2" s="2"/>
    </row>
    <row r="4" spans="1:7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 ht="25" x14ac:dyDescent="0.35">
      <c r="A5" s="4">
        <v>1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</row>
    <row r="6" spans="1:7" x14ac:dyDescent="0.35">
      <c r="A6" s="4">
        <v>2</v>
      </c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19</v>
      </c>
    </row>
    <row r="7" spans="1:7" ht="25" x14ac:dyDescent="0.35">
      <c r="A7" s="4">
        <v>3</v>
      </c>
      <c r="B7" s="4" t="s">
        <v>20</v>
      </c>
      <c r="C7" s="4" t="s">
        <v>21</v>
      </c>
      <c r="D7" s="4" t="s">
        <v>22</v>
      </c>
      <c r="E7" s="4" t="s">
        <v>23</v>
      </c>
      <c r="F7" s="4" t="s">
        <v>24</v>
      </c>
      <c r="G7" s="4" t="s">
        <v>25</v>
      </c>
    </row>
    <row r="8" spans="1:7" ht="25" x14ac:dyDescent="0.35">
      <c r="A8" s="4">
        <v>4</v>
      </c>
      <c r="B8" s="4" t="s">
        <v>26</v>
      </c>
      <c r="C8" s="4" t="s">
        <v>27</v>
      </c>
      <c r="D8" s="4" t="s">
        <v>28</v>
      </c>
      <c r="E8" s="4" t="s">
        <v>29</v>
      </c>
      <c r="F8" s="4" t="s">
        <v>27</v>
      </c>
      <c r="G8" s="4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workbookViewId="0">
      <pane ySplit="4" topLeftCell="A20" activePane="bottomLeft" state="frozen"/>
      <selection pane="bottomLeft" activeCell="A2" sqref="A2"/>
    </sheetView>
  </sheetViews>
  <sheetFormatPr defaultRowHeight="14.5" x14ac:dyDescent="0.35"/>
  <cols>
    <col min="1" max="1" width="22" customWidth="1"/>
    <col min="2" max="2" width="18" customWidth="1"/>
    <col min="3" max="3" width="15" customWidth="1"/>
    <col min="4" max="4" width="9" customWidth="1"/>
    <col min="5" max="5" width="26" customWidth="1"/>
    <col min="6" max="6" width="20" customWidth="1"/>
    <col min="7" max="7" width="26" customWidth="1"/>
    <col min="8" max="8" width="46" customWidth="1"/>
    <col min="9" max="9" width="34" customWidth="1"/>
  </cols>
  <sheetData>
    <row r="1" spans="1:9" ht="18" x14ac:dyDescent="0.4">
      <c r="A1" s="1" t="s">
        <v>31</v>
      </c>
    </row>
    <row r="2" spans="1:9" x14ac:dyDescent="0.35">
      <c r="A2" s="2"/>
    </row>
    <row r="4" spans="1:9" x14ac:dyDescent="0.35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</row>
    <row r="5" spans="1:9" ht="25" x14ac:dyDescent="0.35">
      <c r="A5" s="5" t="s">
        <v>41</v>
      </c>
      <c r="B5" s="6" t="s">
        <v>42</v>
      </c>
      <c r="C5" s="6" t="s">
        <v>43</v>
      </c>
      <c r="D5" s="6" t="s">
        <v>44</v>
      </c>
      <c r="E5" s="6" t="s">
        <v>45</v>
      </c>
      <c r="F5" s="6" t="s">
        <v>46</v>
      </c>
      <c r="G5" s="6" t="s">
        <v>47</v>
      </c>
      <c r="H5" s="6" t="s">
        <v>48</v>
      </c>
      <c r="I5" s="6" t="s">
        <v>49</v>
      </c>
    </row>
    <row r="6" spans="1:9" ht="25" x14ac:dyDescent="0.35">
      <c r="A6" s="5" t="s">
        <v>41</v>
      </c>
      <c r="B6" s="6" t="s">
        <v>47</v>
      </c>
      <c r="C6" s="6" t="s">
        <v>50</v>
      </c>
      <c r="D6" s="6" t="s">
        <v>44</v>
      </c>
      <c r="E6" s="6"/>
      <c r="F6" s="6" t="s">
        <v>51</v>
      </c>
      <c r="G6" s="6" t="s">
        <v>52</v>
      </c>
      <c r="H6" s="6" t="s">
        <v>53</v>
      </c>
      <c r="I6" s="6" t="s">
        <v>54</v>
      </c>
    </row>
    <row r="7" spans="1:9" ht="25" x14ac:dyDescent="0.35">
      <c r="A7" s="5" t="s">
        <v>41</v>
      </c>
      <c r="B7" s="6" t="s">
        <v>55</v>
      </c>
      <c r="C7" s="6" t="s">
        <v>56</v>
      </c>
      <c r="D7" s="6" t="s">
        <v>44</v>
      </c>
      <c r="E7" s="6"/>
      <c r="F7" s="6" t="s">
        <v>51</v>
      </c>
      <c r="G7" s="6" t="s">
        <v>47</v>
      </c>
      <c r="H7" s="6" t="s">
        <v>57</v>
      </c>
      <c r="I7" s="6"/>
    </row>
    <row r="8" spans="1:9" ht="25" x14ac:dyDescent="0.35">
      <c r="A8" s="5" t="s">
        <v>41</v>
      </c>
      <c r="B8" s="6" t="s">
        <v>58</v>
      </c>
      <c r="C8" s="6" t="s">
        <v>56</v>
      </c>
      <c r="D8" s="6" t="s">
        <v>44</v>
      </c>
      <c r="E8" s="6"/>
      <c r="F8" s="6" t="s">
        <v>51</v>
      </c>
      <c r="G8" s="6" t="s">
        <v>47</v>
      </c>
      <c r="H8" s="6" t="s">
        <v>59</v>
      </c>
      <c r="I8" s="6"/>
    </row>
    <row r="9" spans="1:9" ht="25" x14ac:dyDescent="0.35">
      <c r="A9" s="5" t="s">
        <v>41</v>
      </c>
      <c r="B9" s="6" t="s">
        <v>60</v>
      </c>
      <c r="C9" s="6" t="s">
        <v>56</v>
      </c>
      <c r="D9" s="6" t="s">
        <v>44</v>
      </c>
      <c r="E9" s="6"/>
      <c r="F9" s="6" t="s">
        <v>51</v>
      </c>
      <c r="G9" s="6" t="s">
        <v>47</v>
      </c>
      <c r="H9" s="6" t="s">
        <v>61</v>
      </c>
      <c r="I9" s="6"/>
    </row>
    <row r="10" spans="1:9" ht="25" x14ac:dyDescent="0.35">
      <c r="A10" s="5" t="s">
        <v>41</v>
      </c>
      <c r="B10" s="6" t="s">
        <v>62</v>
      </c>
      <c r="C10" s="6" t="s">
        <v>63</v>
      </c>
      <c r="D10" s="6" t="s">
        <v>44</v>
      </c>
      <c r="E10" s="6"/>
      <c r="F10" s="6" t="s">
        <v>64</v>
      </c>
      <c r="G10" s="6" t="s">
        <v>47</v>
      </c>
      <c r="H10" s="6" t="s">
        <v>65</v>
      </c>
      <c r="I10" s="6" t="s">
        <v>66</v>
      </c>
    </row>
    <row r="11" spans="1:9" ht="25" x14ac:dyDescent="0.35">
      <c r="A11" s="5" t="s">
        <v>41</v>
      </c>
      <c r="B11" s="6" t="s">
        <v>67</v>
      </c>
      <c r="C11" s="6" t="s">
        <v>68</v>
      </c>
      <c r="D11" s="6" t="s">
        <v>69</v>
      </c>
      <c r="E11" s="6"/>
      <c r="F11" s="6" t="s">
        <v>64</v>
      </c>
      <c r="G11" s="6" t="s">
        <v>47</v>
      </c>
      <c r="H11" s="6" t="s">
        <v>70</v>
      </c>
      <c r="I11" s="6"/>
    </row>
    <row r="12" spans="1:9" ht="25" x14ac:dyDescent="0.35">
      <c r="A12" s="5" t="s">
        <v>71</v>
      </c>
      <c r="B12" s="6" t="s">
        <v>72</v>
      </c>
      <c r="C12" s="6" t="s">
        <v>43</v>
      </c>
      <c r="D12" s="6" t="s">
        <v>44</v>
      </c>
      <c r="E12" s="6" t="s">
        <v>45</v>
      </c>
      <c r="F12" s="6" t="s">
        <v>73</v>
      </c>
      <c r="G12" s="6" t="s">
        <v>74</v>
      </c>
      <c r="H12" s="6" t="s">
        <v>75</v>
      </c>
      <c r="I12" s="6" t="s">
        <v>76</v>
      </c>
    </row>
    <row r="13" spans="1:9" ht="25" x14ac:dyDescent="0.35">
      <c r="A13" s="5" t="s">
        <v>71</v>
      </c>
      <c r="B13" s="6" t="s">
        <v>77</v>
      </c>
      <c r="C13" s="6" t="s">
        <v>43</v>
      </c>
      <c r="D13" s="6" t="s">
        <v>44</v>
      </c>
      <c r="E13" s="6"/>
      <c r="F13" s="6" t="s">
        <v>78</v>
      </c>
      <c r="G13" s="6" t="s">
        <v>79</v>
      </c>
      <c r="H13" s="6" t="s">
        <v>80</v>
      </c>
      <c r="I13" s="6"/>
    </row>
    <row r="14" spans="1:9" ht="25" x14ac:dyDescent="0.35">
      <c r="A14" s="5" t="s">
        <v>71</v>
      </c>
      <c r="B14" s="6" t="s">
        <v>81</v>
      </c>
      <c r="C14" s="6" t="s">
        <v>82</v>
      </c>
      <c r="D14" s="6" t="s">
        <v>44</v>
      </c>
      <c r="E14" s="6"/>
      <c r="F14" s="6" t="s">
        <v>78</v>
      </c>
      <c r="G14" s="6" t="s">
        <v>83</v>
      </c>
      <c r="H14" s="6" t="s">
        <v>84</v>
      </c>
      <c r="I14" s="6"/>
    </row>
    <row r="15" spans="1:9" ht="25" x14ac:dyDescent="0.35">
      <c r="A15" s="5" t="s">
        <v>71</v>
      </c>
      <c r="B15" s="6" t="s">
        <v>85</v>
      </c>
      <c r="C15" s="6" t="s">
        <v>86</v>
      </c>
      <c r="D15" s="6" t="s">
        <v>44</v>
      </c>
      <c r="E15" s="6"/>
      <c r="F15" s="6" t="s">
        <v>78</v>
      </c>
      <c r="G15" s="6" t="s">
        <v>77</v>
      </c>
      <c r="H15" s="6" t="s">
        <v>87</v>
      </c>
      <c r="I15" s="6"/>
    </row>
    <row r="16" spans="1:9" ht="25" x14ac:dyDescent="0.35">
      <c r="A16" s="5" t="s">
        <v>88</v>
      </c>
      <c r="B16" s="6" t="s">
        <v>89</v>
      </c>
      <c r="C16" s="6" t="s">
        <v>43</v>
      </c>
      <c r="D16" s="6" t="s">
        <v>44</v>
      </c>
      <c r="E16" s="6" t="s">
        <v>90</v>
      </c>
      <c r="F16" s="6" t="s">
        <v>91</v>
      </c>
      <c r="G16" s="6" t="s">
        <v>27</v>
      </c>
      <c r="H16" s="6" t="s">
        <v>92</v>
      </c>
      <c r="I16" s="6" t="s">
        <v>93</v>
      </c>
    </row>
    <row r="17" spans="1:9" ht="25" x14ac:dyDescent="0.35">
      <c r="A17" s="5" t="s">
        <v>88</v>
      </c>
      <c r="B17" s="6" t="s">
        <v>94</v>
      </c>
      <c r="C17" s="6" t="s">
        <v>56</v>
      </c>
      <c r="D17" s="6" t="s">
        <v>44</v>
      </c>
      <c r="E17" s="6" t="s">
        <v>95</v>
      </c>
      <c r="F17" s="6" t="s">
        <v>18</v>
      </c>
      <c r="G17" s="6" t="s">
        <v>96</v>
      </c>
      <c r="H17" s="6" t="s">
        <v>97</v>
      </c>
      <c r="I17" s="6" t="s">
        <v>98</v>
      </c>
    </row>
    <row r="18" spans="1:9" ht="25" x14ac:dyDescent="0.35">
      <c r="A18" s="5" t="s">
        <v>88</v>
      </c>
      <c r="B18" s="6" t="s">
        <v>99</v>
      </c>
      <c r="C18" s="6" t="s">
        <v>100</v>
      </c>
      <c r="D18" s="6" t="s">
        <v>44</v>
      </c>
      <c r="E18" s="6"/>
      <c r="F18" s="6" t="s">
        <v>18</v>
      </c>
      <c r="G18" s="6" t="s">
        <v>101</v>
      </c>
      <c r="H18" s="6" t="s">
        <v>102</v>
      </c>
      <c r="I18" s="6" t="s">
        <v>103</v>
      </c>
    </row>
    <row r="19" spans="1:9" ht="25" x14ac:dyDescent="0.35">
      <c r="A19" s="5" t="s">
        <v>88</v>
      </c>
      <c r="B19" s="6" t="s">
        <v>104</v>
      </c>
      <c r="C19" s="6" t="s">
        <v>68</v>
      </c>
      <c r="D19" s="6" t="s">
        <v>44</v>
      </c>
      <c r="E19" s="6"/>
      <c r="F19" s="6" t="s">
        <v>18</v>
      </c>
      <c r="G19" s="6" t="s">
        <v>105</v>
      </c>
      <c r="H19" s="6" t="s">
        <v>106</v>
      </c>
      <c r="I19" s="6" t="s">
        <v>103</v>
      </c>
    </row>
    <row r="20" spans="1:9" ht="25" x14ac:dyDescent="0.35">
      <c r="A20" s="5" t="s">
        <v>88</v>
      </c>
      <c r="B20" s="6" t="s">
        <v>107</v>
      </c>
      <c r="C20" s="6" t="s">
        <v>100</v>
      </c>
      <c r="D20" s="6" t="s">
        <v>44</v>
      </c>
      <c r="E20" s="6"/>
      <c r="F20" s="6" t="s">
        <v>18</v>
      </c>
      <c r="G20" s="6" t="s">
        <v>108</v>
      </c>
      <c r="H20" s="6" t="s">
        <v>109</v>
      </c>
      <c r="I20" s="6" t="s">
        <v>110</v>
      </c>
    </row>
    <row r="21" spans="1:9" ht="25" x14ac:dyDescent="0.35">
      <c r="A21" s="5" t="s">
        <v>88</v>
      </c>
      <c r="B21" s="6" t="s">
        <v>111</v>
      </c>
      <c r="C21" s="6" t="s">
        <v>50</v>
      </c>
      <c r="D21" s="6" t="s">
        <v>44</v>
      </c>
      <c r="E21" s="6" t="s">
        <v>112</v>
      </c>
      <c r="F21" s="6" t="s">
        <v>51</v>
      </c>
      <c r="G21" s="6" t="s">
        <v>27</v>
      </c>
      <c r="H21" s="6" t="s">
        <v>113</v>
      </c>
      <c r="I21" s="6" t="s">
        <v>114</v>
      </c>
    </row>
    <row r="22" spans="1:9" ht="25" x14ac:dyDescent="0.35">
      <c r="A22" s="5" t="s">
        <v>88</v>
      </c>
      <c r="B22" s="6" t="s">
        <v>115</v>
      </c>
      <c r="C22" s="6" t="s">
        <v>50</v>
      </c>
      <c r="D22" s="6" t="s">
        <v>44</v>
      </c>
      <c r="E22" s="6" t="s">
        <v>112</v>
      </c>
      <c r="F22" s="6" t="s">
        <v>51</v>
      </c>
      <c r="G22" s="6" t="s">
        <v>27</v>
      </c>
      <c r="H22" s="6" t="s">
        <v>116</v>
      </c>
      <c r="I22" s="6" t="s">
        <v>117</v>
      </c>
    </row>
    <row r="23" spans="1:9" ht="25" x14ac:dyDescent="0.35">
      <c r="A23" s="5" t="s">
        <v>88</v>
      </c>
      <c r="B23" s="6" t="s">
        <v>118</v>
      </c>
      <c r="C23" s="6" t="s">
        <v>63</v>
      </c>
      <c r="D23" s="6" t="s">
        <v>44</v>
      </c>
      <c r="E23" s="6" t="s">
        <v>112</v>
      </c>
      <c r="F23" s="6" t="s">
        <v>51</v>
      </c>
      <c r="G23" s="6" t="s">
        <v>27</v>
      </c>
      <c r="H23" s="6" t="s">
        <v>119</v>
      </c>
      <c r="I23" s="6" t="s">
        <v>120</v>
      </c>
    </row>
    <row r="24" spans="1:9" ht="25" x14ac:dyDescent="0.35">
      <c r="A24" s="5" t="s">
        <v>88</v>
      </c>
      <c r="B24" s="6" t="s">
        <v>121</v>
      </c>
      <c r="C24" s="6" t="s">
        <v>56</v>
      </c>
      <c r="D24" s="6" t="s">
        <v>44</v>
      </c>
      <c r="E24" s="6" t="s">
        <v>112</v>
      </c>
      <c r="F24" s="6" t="s">
        <v>51</v>
      </c>
      <c r="G24" s="6" t="s">
        <v>27</v>
      </c>
      <c r="H24" s="6" t="s">
        <v>122</v>
      </c>
      <c r="I24" s="6"/>
    </row>
    <row r="25" spans="1:9" ht="25" x14ac:dyDescent="0.35">
      <c r="A25" s="5" t="s">
        <v>123</v>
      </c>
      <c r="B25" s="6" t="s">
        <v>124</v>
      </c>
      <c r="C25" s="6" t="s">
        <v>43</v>
      </c>
      <c r="D25" s="6" t="s">
        <v>44</v>
      </c>
      <c r="E25" s="6" t="s">
        <v>45</v>
      </c>
      <c r="F25" s="6" t="s">
        <v>73</v>
      </c>
      <c r="G25" s="6" t="s">
        <v>125</v>
      </c>
      <c r="H25" s="6" t="e">
        <f>WMO interpretation code</f>
        <v>#NAME?</v>
      </c>
      <c r="I25" s="6" t="s">
        <v>126</v>
      </c>
    </row>
    <row r="26" spans="1:9" ht="25" x14ac:dyDescent="0.35">
      <c r="A26" s="5" t="s">
        <v>123</v>
      </c>
      <c r="B26" s="6" t="s">
        <v>127</v>
      </c>
      <c r="C26" s="6" t="s">
        <v>68</v>
      </c>
      <c r="D26" s="6" t="s">
        <v>44</v>
      </c>
      <c r="E26" s="6"/>
      <c r="F26" s="6" t="s">
        <v>78</v>
      </c>
      <c r="G26" s="6" t="s">
        <v>125</v>
      </c>
      <c r="H26" s="6" t="s">
        <v>128</v>
      </c>
      <c r="I26" s="6"/>
    </row>
    <row r="27" spans="1:9" x14ac:dyDescent="0.35">
      <c r="A27" s="5" t="s">
        <v>123</v>
      </c>
      <c r="B27" s="6" t="s">
        <v>129</v>
      </c>
      <c r="C27" s="6" t="s">
        <v>130</v>
      </c>
      <c r="D27" s="6" t="s">
        <v>69</v>
      </c>
      <c r="E27" s="6"/>
      <c r="F27" s="6" t="s">
        <v>78</v>
      </c>
      <c r="G27" s="6" t="s">
        <v>125</v>
      </c>
      <c r="H27" s="6" t="s">
        <v>131</v>
      </c>
      <c r="I27" s="6"/>
    </row>
    <row r="28" spans="1:9" ht="25" x14ac:dyDescent="0.35">
      <c r="A28" s="7" t="s">
        <v>13</v>
      </c>
      <c r="B28" s="8" t="s">
        <v>42</v>
      </c>
      <c r="C28" s="8" t="s">
        <v>43</v>
      </c>
      <c r="D28" s="8" t="s">
        <v>44</v>
      </c>
      <c r="E28" s="8" t="s">
        <v>132</v>
      </c>
      <c r="F28" s="8" t="s">
        <v>12</v>
      </c>
      <c r="G28" s="8" t="s">
        <v>133</v>
      </c>
      <c r="H28" s="8" t="s">
        <v>134</v>
      </c>
      <c r="I28" s="8"/>
    </row>
    <row r="29" spans="1:9" ht="25" x14ac:dyDescent="0.35">
      <c r="A29" s="7" t="s">
        <v>13</v>
      </c>
      <c r="B29" s="8" t="s">
        <v>72</v>
      </c>
      <c r="C29" s="8" t="s">
        <v>43</v>
      </c>
      <c r="D29" s="8" t="s">
        <v>44</v>
      </c>
      <c r="E29" s="8" t="s">
        <v>135</v>
      </c>
      <c r="F29" s="8" t="s">
        <v>12</v>
      </c>
      <c r="G29" s="8" t="s">
        <v>133</v>
      </c>
      <c r="H29" s="8" t="s">
        <v>136</v>
      </c>
      <c r="I29" s="8"/>
    </row>
    <row r="30" spans="1:9" ht="37.5" x14ac:dyDescent="0.35">
      <c r="A30" s="7" t="s">
        <v>13</v>
      </c>
      <c r="B30" s="8" t="s">
        <v>137</v>
      </c>
      <c r="C30" s="8" t="s">
        <v>43</v>
      </c>
      <c r="D30" s="8" t="s">
        <v>69</v>
      </c>
      <c r="E30" s="8" t="s">
        <v>138</v>
      </c>
      <c r="F30" s="8" t="s">
        <v>12</v>
      </c>
      <c r="G30" s="8" t="s">
        <v>139</v>
      </c>
      <c r="H30" s="8" t="s">
        <v>140</v>
      </c>
      <c r="I30" s="8" t="s">
        <v>141</v>
      </c>
    </row>
    <row r="31" spans="1:9" ht="37.5" x14ac:dyDescent="0.35">
      <c r="A31" s="7" t="s">
        <v>13</v>
      </c>
      <c r="B31" s="8" t="s">
        <v>142</v>
      </c>
      <c r="C31" s="8" t="s">
        <v>43</v>
      </c>
      <c r="D31" s="8" t="s">
        <v>69</v>
      </c>
      <c r="E31" s="8" t="s">
        <v>138</v>
      </c>
      <c r="F31" s="8" t="s">
        <v>12</v>
      </c>
      <c r="G31" s="8" t="s">
        <v>143</v>
      </c>
      <c r="H31" s="8" t="s">
        <v>140</v>
      </c>
      <c r="I31" s="8" t="s">
        <v>141</v>
      </c>
    </row>
    <row r="32" spans="1:9" ht="25" x14ac:dyDescent="0.35">
      <c r="A32" s="7" t="s">
        <v>13</v>
      </c>
      <c r="B32" s="8" t="s">
        <v>144</v>
      </c>
      <c r="C32" s="8" t="s">
        <v>145</v>
      </c>
      <c r="D32" s="8" t="s">
        <v>44</v>
      </c>
      <c r="E32" s="8" t="s">
        <v>146</v>
      </c>
      <c r="F32" s="8" t="s">
        <v>12</v>
      </c>
      <c r="G32" s="8" t="s">
        <v>144</v>
      </c>
      <c r="H32" s="8" t="s">
        <v>97</v>
      </c>
      <c r="I32" s="8" t="s">
        <v>147</v>
      </c>
    </row>
    <row r="33" spans="1:9" ht="25" x14ac:dyDescent="0.35">
      <c r="A33" s="7" t="s">
        <v>13</v>
      </c>
      <c r="B33" s="8" t="s">
        <v>148</v>
      </c>
      <c r="C33" s="8" t="s">
        <v>149</v>
      </c>
      <c r="D33" s="8" t="s">
        <v>44</v>
      </c>
      <c r="E33" s="8" t="s">
        <v>146</v>
      </c>
      <c r="F33" s="8" t="s">
        <v>12</v>
      </c>
      <c r="G33" s="8" t="s">
        <v>148</v>
      </c>
      <c r="H33" s="8" t="s">
        <v>97</v>
      </c>
      <c r="I33" s="8"/>
    </row>
    <row r="34" spans="1:9" ht="25" x14ac:dyDescent="0.35">
      <c r="A34" s="7" t="s">
        <v>13</v>
      </c>
      <c r="B34" s="8" t="s">
        <v>150</v>
      </c>
      <c r="C34" s="8" t="s">
        <v>149</v>
      </c>
      <c r="D34" s="8" t="s">
        <v>44</v>
      </c>
      <c r="E34" s="8" t="s">
        <v>146</v>
      </c>
      <c r="F34" s="8" t="s">
        <v>12</v>
      </c>
      <c r="G34" s="8" t="s">
        <v>150</v>
      </c>
      <c r="H34" s="8" t="s">
        <v>97</v>
      </c>
      <c r="I34" s="8"/>
    </row>
    <row r="35" spans="1:9" ht="25" x14ac:dyDescent="0.35">
      <c r="A35" s="7" t="s">
        <v>13</v>
      </c>
      <c r="B35" s="8" t="s">
        <v>151</v>
      </c>
      <c r="C35" s="8" t="s">
        <v>149</v>
      </c>
      <c r="D35" s="8" t="s">
        <v>44</v>
      </c>
      <c r="E35" s="8" t="s">
        <v>146</v>
      </c>
      <c r="F35" s="8" t="s">
        <v>12</v>
      </c>
      <c r="G35" s="8" t="s">
        <v>151</v>
      </c>
      <c r="H35" s="8" t="s">
        <v>97</v>
      </c>
      <c r="I35" s="8" t="s">
        <v>152</v>
      </c>
    </row>
    <row r="36" spans="1:9" ht="25" x14ac:dyDescent="0.35">
      <c r="A36" s="7" t="s">
        <v>13</v>
      </c>
      <c r="B36" s="8" t="s">
        <v>153</v>
      </c>
      <c r="C36" s="8" t="s">
        <v>56</v>
      </c>
      <c r="D36" s="8" t="s">
        <v>44</v>
      </c>
      <c r="E36" s="8" t="s">
        <v>146</v>
      </c>
      <c r="F36" s="8" t="s">
        <v>12</v>
      </c>
      <c r="G36" s="8" t="s">
        <v>154</v>
      </c>
      <c r="H36" s="8" t="s">
        <v>155</v>
      </c>
      <c r="I36" s="8" t="s">
        <v>156</v>
      </c>
    </row>
    <row r="37" spans="1:9" x14ac:dyDescent="0.35">
      <c r="A37" s="7" t="s">
        <v>13</v>
      </c>
      <c r="B37" s="8" t="s">
        <v>157</v>
      </c>
      <c r="C37" s="8" t="s">
        <v>56</v>
      </c>
      <c r="D37" s="8" t="s">
        <v>69</v>
      </c>
      <c r="E37" s="8" t="s">
        <v>146</v>
      </c>
      <c r="F37" s="8" t="s">
        <v>12</v>
      </c>
      <c r="G37" s="8" t="s">
        <v>157</v>
      </c>
      <c r="H37" s="8" t="s">
        <v>158</v>
      </c>
      <c r="I37" s="8" t="s">
        <v>159</v>
      </c>
    </row>
    <row r="38" spans="1:9" ht="25" x14ac:dyDescent="0.35">
      <c r="A38" s="7" t="s">
        <v>13</v>
      </c>
      <c r="B38" s="8" t="s">
        <v>160</v>
      </c>
      <c r="C38" s="8" t="s">
        <v>161</v>
      </c>
      <c r="D38" s="8" t="s">
        <v>162</v>
      </c>
      <c r="E38" s="8" t="s">
        <v>163</v>
      </c>
      <c r="F38" s="8" t="s">
        <v>164</v>
      </c>
      <c r="G38" s="8" t="s">
        <v>27</v>
      </c>
      <c r="H38" s="8" t="s">
        <v>165</v>
      </c>
      <c r="I38" s="8"/>
    </row>
    <row r="39" spans="1:9" ht="25" x14ac:dyDescent="0.35">
      <c r="A39" s="7" t="s">
        <v>25</v>
      </c>
      <c r="B39" s="8" t="s">
        <v>42</v>
      </c>
      <c r="C39" s="8" t="s">
        <v>43</v>
      </c>
      <c r="D39" s="8" t="s">
        <v>44</v>
      </c>
      <c r="E39" s="8" t="s">
        <v>132</v>
      </c>
      <c r="F39" s="8" t="s">
        <v>24</v>
      </c>
      <c r="G39" s="8" t="s">
        <v>166</v>
      </c>
      <c r="H39" s="8" t="s">
        <v>167</v>
      </c>
      <c r="I39" s="8" t="s">
        <v>168</v>
      </c>
    </row>
    <row r="40" spans="1:9" ht="25" x14ac:dyDescent="0.35">
      <c r="A40" s="7" t="s">
        <v>25</v>
      </c>
      <c r="B40" s="8" t="s">
        <v>72</v>
      </c>
      <c r="C40" s="8" t="s">
        <v>43</v>
      </c>
      <c r="D40" s="8" t="s">
        <v>44</v>
      </c>
      <c r="E40" s="8" t="s">
        <v>135</v>
      </c>
      <c r="F40" s="8" t="s">
        <v>24</v>
      </c>
      <c r="G40" s="8" t="s">
        <v>166</v>
      </c>
      <c r="H40" s="8" t="s">
        <v>169</v>
      </c>
      <c r="I40" s="8" t="s">
        <v>170</v>
      </c>
    </row>
    <row r="41" spans="1:9" ht="25" x14ac:dyDescent="0.35">
      <c r="A41" s="7" t="s">
        <v>25</v>
      </c>
      <c r="B41" s="8" t="s">
        <v>124</v>
      </c>
      <c r="C41" s="8" t="s">
        <v>43</v>
      </c>
      <c r="D41" s="8" t="s">
        <v>44</v>
      </c>
      <c r="E41" s="8" t="s">
        <v>171</v>
      </c>
      <c r="F41" s="8" t="s">
        <v>24</v>
      </c>
      <c r="G41" s="8" t="s">
        <v>172</v>
      </c>
      <c r="H41" s="8" t="s">
        <v>173</v>
      </c>
      <c r="I41" s="8" t="s">
        <v>174</v>
      </c>
    </row>
    <row r="42" spans="1:9" ht="25" x14ac:dyDescent="0.35">
      <c r="A42" s="7" t="s">
        <v>25</v>
      </c>
      <c r="B42" s="8" t="s">
        <v>175</v>
      </c>
      <c r="C42" s="8" t="s">
        <v>176</v>
      </c>
      <c r="D42" s="8" t="s">
        <v>44</v>
      </c>
      <c r="E42" s="8" t="s">
        <v>146</v>
      </c>
      <c r="F42" s="8" t="s">
        <v>24</v>
      </c>
      <c r="G42" s="8" t="s">
        <v>177</v>
      </c>
      <c r="H42" s="8" t="s">
        <v>178</v>
      </c>
      <c r="I42" s="8"/>
    </row>
    <row r="43" spans="1:9" ht="25" x14ac:dyDescent="0.35">
      <c r="A43" s="7" t="s">
        <v>25</v>
      </c>
      <c r="B43" s="8" t="s">
        <v>179</v>
      </c>
      <c r="C43" s="8" t="s">
        <v>180</v>
      </c>
      <c r="D43" s="8" t="s">
        <v>44</v>
      </c>
      <c r="E43" s="8" t="s">
        <v>146</v>
      </c>
      <c r="F43" s="8" t="s">
        <v>24</v>
      </c>
      <c r="G43" s="8" t="s">
        <v>179</v>
      </c>
      <c r="H43" s="8" t="s">
        <v>181</v>
      </c>
      <c r="I43" s="8"/>
    </row>
    <row r="44" spans="1:9" ht="25" x14ac:dyDescent="0.35">
      <c r="A44" s="7" t="s">
        <v>25</v>
      </c>
      <c r="B44" s="8" t="s">
        <v>182</v>
      </c>
      <c r="C44" s="8" t="s">
        <v>176</v>
      </c>
      <c r="D44" s="8" t="s">
        <v>44</v>
      </c>
      <c r="E44" s="8" t="s">
        <v>146</v>
      </c>
      <c r="F44" s="8" t="s">
        <v>24</v>
      </c>
      <c r="G44" s="8" t="s">
        <v>183</v>
      </c>
      <c r="H44" s="8" t="s">
        <v>178</v>
      </c>
      <c r="I44" s="8"/>
    </row>
    <row r="45" spans="1:9" ht="25" x14ac:dyDescent="0.35">
      <c r="A45" s="7" t="s">
        <v>25</v>
      </c>
      <c r="B45" s="8" t="s">
        <v>160</v>
      </c>
      <c r="C45" s="8" t="s">
        <v>161</v>
      </c>
      <c r="D45" s="8" t="s">
        <v>162</v>
      </c>
      <c r="E45" s="8" t="s">
        <v>163</v>
      </c>
      <c r="F45" s="8" t="s">
        <v>164</v>
      </c>
      <c r="G45" s="8" t="s">
        <v>27</v>
      </c>
      <c r="H45" s="8" t="s">
        <v>165</v>
      </c>
      <c r="I45" s="8"/>
    </row>
  </sheetData>
  <autoFilter ref="A4:I4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Source Systems</vt:lpstr>
      <vt:lpstr>STTM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Vinichenko Oleksii (STUD)</cp:lastModifiedBy>
  <dcterms:created xsi:type="dcterms:W3CDTF">2026-06-14T23:24:36Z</dcterms:created>
  <dcterms:modified xsi:type="dcterms:W3CDTF">2026-06-16T19:25:39Z</dcterms:modified>
</cp:coreProperties>
</file>